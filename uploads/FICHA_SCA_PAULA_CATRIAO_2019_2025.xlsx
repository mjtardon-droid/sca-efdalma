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Ficha General" sheetId="1" state="visible" r:id="rId1"/>
    <sheet xmlns:r="http://schemas.openxmlformats.org/officeDocument/2006/relationships" name="2. Resumen por Año" sheetId="2" state="visible" r:id="rId2"/>
    <sheet xmlns:r="http://schemas.openxmlformats.org/officeDocument/2006/relationships" name="3. Matriz de Medición" sheetId="3" state="visible" r:id="rId3"/>
    <sheet xmlns:r="http://schemas.openxmlformats.org/officeDocument/2006/relationships" name="4. Evolución Semántica" sheetId="4" state="visible" r:id="rId4"/>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Arial"/>
      <b val="1"/>
      <color rgb="00FFFFFF"/>
      <sz val="13"/>
    </font>
    <font>
      <name val="Arial"/>
      <i val="1"/>
      <color rgb="002E5FA3"/>
      <sz val="10"/>
    </font>
    <font>
      <name val="Arial"/>
      <b val="1"/>
      <color rgb="00FFFFFF"/>
      <sz val="11"/>
    </font>
    <font>
      <name val="Arial"/>
      <b val="1"/>
      <color rgb="00000000"/>
      <sz val="10"/>
    </font>
    <font>
      <name val="Arial"/>
      <color rgb="00000000"/>
      <sz val="10"/>
    </font>
    <font>
      <name val="Arial"/>
      <b val="1"/>
      <color rgb="00FFFFFF"/>
      <sz val="9"/>
    </font>
    <font>
      <name val="Arial"/>
      <b val="1"/>
      <color rgb="008B6914"/>
      <sz val="10"/>
    </font>
    <font>
      <name val="Arial"/>
      <b val="1"/>
      <color rgb="00FFFFFF"/>
      <sz val="10"/>
    </font>
    <font>
      <name val="Arial"/>
      <b val="1"/>
      <color rgb="00000000"/>
      <sz val="9"/>
    </font>
    <font>
      <name val="Arial"/>
      <color rgb="00000000"/>
      <sz val="9"/>
    </font>
    <font>
      <name val="Arial"/>
      <i val="1"/>
      <color rgb="002E5FA3"/>
      <sz val="9"/>
    </font>
    <font>
      <name val="Arial"/>
      <b val="1"/>
      <color rgb="00F44336"/>
      <sz val="14"/>
    </font>
    <font>
      <name val="Arial"/>
      <b val="1"/>
      <color rgb="00FFCDD2"/>
      <sz val="14"/>
    </font>
    <font>
      <name val="Arial"/>
      <b val="1"/>
      <color rgb="00FFF9C4"/>
      <sz val="14"/>
    </font>
    <font>
      <name val="Arial"/>
      <b val="1"/>
      <color rgb="00C8E6C9"/>
      <sz val="14"/>
    </font>
    <font>
      <name val="Arial"/>
      <b val="1"/>
      <color rgb="004CAF50"/>
      <sz val="14"/>
    </font>
    <font>
      <name val="Arial"/>
      <b val="1"/>
      <color rgb="00F57F17"/>
      <sz val="11"/>
    </font>
    <font>
      <name val="Arial"/>
      <b val="1"/>
      <color rgb="00F57F17"/>
      <sz val="9"/>
    </font>
    <font>
      <name val="Arial"/>
      <i val="1"/>
      <color rgb="00F57F17"/>
      <sz val="9"/>
    </font>
    <font>
      <name val="Arial"/>
      <b val="1"/>
      <color rgb="002E5FA3"/>
      <sz val="11"/>
    </font>
    <font>
      <name val="Arial"/>
      <b val="1"/>
      <color rgb="002E5FA3"/>
      <sz val="9"/>
    </font>
    <font>
      <name val="Arial"/>
      <b val="1"/>
      <color rgb="001B5E20"/>
      <sz val="11"/>
    </font>
    <font>
      <name val="Arial"/>
      <b val="1"/>
      <color rgb="001B5E20"/>
      <sz val="9"/>
    </font>
    <font>
      <name val="Arial"/>
      <i val="1"/>
      <color rgb="001B5E20"/>
      <sz val="9"/>
    </font>
    <font>
      <name val="Arial"/>
      <b val="1"/>
      <color rgb="006A1B9A"/>
      <sz val="11"/>
    </font>
    <font>
      <name val="Arial"/>
      <b val="1"/>
      <color rgb="006A1B9A"/>
      <sz val="9"/>
    </font>
    <font>
      <name val="Arial"/>
      <i val="1"/>
      <color rgb="006A1B9A"/>
      <sz val="9"/>
    </font>
    <font>
      <name val="Arial"/>
      <i val="1"/>
      <color rgb="00000000"/>
      <sz val="9"/>
    </font>
  </fonts>
  <fills count="20">
    <fill>
      <patternFill/>
    </fill>
    <fill>
      <patternFill patternType="gray125"/>
    </fill>
    <fill>
      <patternFill patternType="solid">
        <fgColor rgb="001F3864"/>
      </patternFill>
    </fill>
    <fill>
      <patternFill patternType="solid">
        <fgColor rgb="00EBF3FA"/>
      </patternFill>
    </fill>
    <fill>
      <patternFill patternType="solid">
        <fgColor rgb="002E5FA3"/>
      </patternFill>
    </fill>
    <fill>
      <patternFill patternType="solid">
        <fgColor rgb="00D6E4F0"/>
      </patternFill>
    </fill>
    <fill>
      <patternFill patternType="solid">
        <fgColor rgb="00FFFFFF"/>
      </patternFill>
    </fill>
    <fill>
      <patternFill patternType="solid">
        <fgColor rgb="008B6914"/>
      </patternFill>
    </fill>
    <fill>
      <patternFill patternType="solid">
        <fgColor rgb="00FDF3DC"/>
      </patternFill>
    </fill>
    <fill>
      <patternFill patternType="solid">
        <fgColor rgb="00FFCDD2"/>
      </patternFill>
    </fill>
    <fill>
      <patternFill patternType="solid">
        <fgColor rgb="00FFF9C4"/>
      </patternFill>
    </fill>
    <fill>
      <patternFill patternType="solid">
        <fgColor rgb="00C8E6C9"/>
      </patternFill>
    </fill>
    <fill>
      <patternFill patternType="solid">
        <fgColor rgb="00F44336"/>
      </patternFill>
    </fill>
    <fill>
      <patternFill patternType="solid">
        <fgColor rgb="00757575"/>
      </patternFill>
    </fill>
    <fill>
      <patternFill patternType="solid">
        <fgColor rgb="00EEEEEE"/>
      </patternFill>
    </fill>
    <fill>
      <patternFill patternType="solid">
        <fgColor rgb="004CAF50"/>
      </patternFill>
    </fill>
    <fill>
      <patternFill patternType="solid">
        <fgColor rgb="00FFF3E0"/>
      </patternFill>
    </fill>
    <fill>
      <patternFill patternType="solid">
        <fgColor rgb="00E3F2FD"/>
      </patternFill>
    </fill>
    <fill>
      <patternFill patternType="solid">
        <fgColor rgb="00E8F5E9"/>
      </patternFill>
    </fill>
    <fill>
      <patternFill patternType="solid">
        <fgColor rgb="00F3E5F5"/>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2E5FA3"/>
      </left>
      <right style="thin">
        <color rgb="002E5FA3"/>
      </right>
      <top style="thin">
        <color rgb="002E5FA3"/>
      </top>
      <bottom style="thin">
        <color rgb="002E5FA3"/>
      </bottom>
    </border>
  </borders>
  <cellStyleXfs count="1">
    <xf numFmtId="0" fontId="0" fillId="0" borderId="0"/>
  </cellStyleXfs>
  <cellXfs count="7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xf>
    <xf numFmtId="0" fontId="4" fillId="5" borderId="1" applyAlignment="1" pivotButton="0" quotePrefix="0" xfId="0">
      <alignment horizontal="left" vertical="center"/>
    </xf>
    <xf numFmtId="0" fontId="5" fillId="0" borderId="1" applyAlignment="1" pivotButton="0" quotePrefix="0" xfId="0">
      <alignment horizontal="left" vertical="center"/>
    </xf>
    <xf numFmtId="0" fontId="6" fillId="2" borderId="1" applyAlignment="1" pivotButton="0" quotePrefix="0" xfId="0">
      <alignment horizontal="center" vertical="center"/>
    </xf>
    <xf numFmtId="0" fontId="4" fillId="6" borderId="1" applyAlignment="1" pivotButton="0" quotePrefix="0" xfId="0">
      <alignment horizontal="left" vertical="center"/>
    </xf>
    <xf numFmtId="0" fontId="5" fillId="6" borderId="1" applyAlignment="1" pivotButton="0" quotePrefix="0" xfId="0">
      <alignment horizontal="center" vertical="center"/>
    </xf>
    <xf numFmtId="0" fontId="5" fillId="6" borderId="1" applyAlignment="1" pivotButton="0" quotePrefix="0" xfId="0">
      <alignment horizontal="left" vertical="center"/>
    </xf>
    <xf numFmtId="0" fontId="5" fillId="6" borderId="1" applyAlignment="1" pivotButton="0" quotePrefix="0" xfId="0">
      <alignment horizontal="left" vertical="center" wrapText="1"/>
    </xf>
    <xf numFmtId="0" fontId="5" fillId="5" borderId="1" applyAlignment="1" pivotButton="0" quotePrefix="0" xfId="0">
      <alignment horizontal="center" vertical="center"/>
    </xf>
    <xf numFmtId="0" fontId="5" fillId="5" borderId="1" applyAlignment="1" pivotButton="0" quotePrefix="0" xfId="0">
      <alignment horizontal="left" vertical="center"/>
    </xf>
    <xf numFmtId="0" fontId="5"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0" applyAlignment="1" pivotButton="0" quotePrefix="0" xfId="0">
      <alignment horizontal="left" vertical="center"/>
    </xf>
    <xf numFmtId="0" fontId="7" fillId="8" borderId="1" applyAlignment="1" pivotButton="0" quotePrefix="0" xfId="0">
      <alignment horizontal="left" vertical="center"/>
    </xf>
    <xf numFmtId="0" fontId="5" fillId="8" borderId="1" applyAlignment="1" pivotButton="0" quotePrefix="0" xfId="0">
      <alignment horizontal="left" vertical="center" wrapText="1"/>
    </xf>
    <xf numFmtId="0" fontId="7" fillId="6" borderId="1" applyAlignment="1" pivotButton="0" quotePrefix="0" xfId="0">
      <alignment horizontal="left" vertical="center"/>
    </xf>
    <xf numFmtId="0" fontId="8" fillId="2" borderId="1" applyAlignment="1" pivotButton="0" quotePrefix="0" xfId="0">
      <alignment horizontal="center" vertical="center" wrapText="1"/>
    </xf>
    <xf numFmtId="0" fontId="9" fillId="6" borderId="1" applyAlignment="1" pivotButton="0" quotePrefix="0" xfId="0">
      <alignment horizontal="center" vertical="top" wrapText="1"/>
    </xf>
    <xf numFmtId="0" fontId="10" fillId="6" borderId="1" applyAlignment="1" pivotButton="0" quotePrefix="0" xfId="0">
      <alignment horizontal="center" vertical="top" wrapText="1"/>
    </xf>
    <xf numFmtId="0" fontId="10" fillId="6" borderId="1" applyAlignment="1" pivotButton="0" quotePrefix="0" xfId="0">
      <alignment horizontal="left" vertical="top" wrapText="1"/>
    </xf>
    <xf numFmtId="0" fontId="9" fillId="9" borderId="1" applyAlignment="1" pivotButton="0" quotePrefix="0" xfId="0">
      <alignment horizontal="center" vertical="top" wrapText="1"/>
    </xf>
    <xf numFmtId="0" fontId="9" fillId="5" borderId="1" applyAlignment="1" pivotButton="0" quotePrefix="0" xfId="0">
      <alignment horizontal="center" vertical="top" wrapText="1"/>
    </xf>
    <xf numFmtId="0" fontId="9" fillId="3" borderId="1" applyAlignment="1" pivotButton="0" quotePrefix="0" xfId="0">
      <alignment horizontal="center" vertical="top" wrapText="1"/>
    </xf>
    <xf numFmtId="0" fontId="10" fillId="3" borderId="1" applyAlignment="1" pivotButton="0" quotePrefix="0" xfId="0">
      <alignment horizontal="center" vertical="top" wrapText="1"/>
    </xf>
    <xf numFmtId="0" fontId="10" fillId="3" borderId="1" applyAlignment="1" pivotButton="0" quotePrefix="0" xfId="0">
      <alignment horizontal="left" vertical="top" wrapText="1"/>
    </xf>
    <xf numFmtId="0" fontId="9" fillId="10" borderId="1" applyAlignment="1" pivotButton="0" quotePrefix="0" xfId="0">
      <alignment horizontal="center" vertical="top" wrapText="1"/>
    </xf>
    <xf numFmtId="0" fontId="9" fillId="11" borderId="1" applyAlignment="1" pivotButton="0" quotePrefix="0" xfId="0">
      <alignment horizontal="center" vertical="top" wrapText="1"/>
    </xf>
    <xf numFmtId="0" fontId="11" fillId="3" borderId="0" applyAlignment="1" pivotButton="0" quotePrefix="0" xfId="0">
      <alignment horizontal="center" vertical="center"/>
    </xf>
    <xf numFmtId="0" fontId="8" fillId="2" borderId="2" applyAlignment="1" pivotButton="0" quotePrefix="0" xfId="0">
      <alignment horizontal="center" vertical="center" wrapText="1"/>
    </xf>
    <xf numFmtId="0" fontId="5" fillId="9" borderId="1" applyAlignment="1" pivotButton="0" quotePrefix="0" xfId="0">
      <alignment horizontal="center" vertical="center"/>
    </xf>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4" fillId="9" borderId="1" applyAlignment="1" pivotButton="0" quotePrefix="0" xfId="0">
      <alignment horizontal="center" vertical="center"/>
    </xf>
    <xf numFmtId="0" fontId="5" fillId="12" borderId="1" applyAlignment="1" pivotButton="0" quotePrefix="0" xfId="0">
      <alignment horizontal="center" vertical="center"/>
    </xf>
    <xf numFmtId="0" fontId="4" fillId="11" borderId="1" applyAlignment="1" pivotButton="0" quotePrefix="0" xfId="0">
      <alignment horizontal="center" vertical="center"/>
    </xf>
    <xf numFmtId="0" fontId="3" fillId="13" borderId="0" applyAlignment="1" pivotButton="0" quotePrefix="0" xfId="0">
      <alignment horizontal="left" vertical="center"/>
    </xf>
    <xf numFmtId="0" fontId="12" fillId="12" borderId="1" applyAlignment="1" pivotButton="0" quotePrefix="0" xfId="0">
      <alignment horizontal="center" vertical="center"/>
    </xf>
    <xf numFmtId="0" fontId="10" fillId="14" borderId="1" applyAlignment="1" pivotButton="0" quotePrefix="0" xfId="0">
      <alignment horizontal="left" vertical="center"/>
    </xf>
    <xf numFmtId="0" fontId="13" fillId="9" borderId="1" applyAlignment="1" pivotButton="0" quotePrefix="0" xfId="0">
      <alignment horizontal="center" vertical="center"/>
    </xf>
    <xf numFmtId="0" fontId="14" fillId="10" borderId="1" applyAlignment="1" pivotButton="0" quotePrefix="0" xfId="0">
      <alignment horizontal="center" vertical="center"/>
    </xf>
    <xf numFmtId="0" fontId="15" fillId="11" borderId="1" applyAlignment="1" pivotButton="0" quotePrefix="0" xfId="0">
      <alignment horizontal="center" vertical="center"/>
    </xf>
    <xf numFmtId="0" fontId="16" fillId="15" borderId="1" applyAlignment="1" pivotButton="0" quotePrefix="0" xfId="0">
      <alignment horizontal="center" vertical="center"/>
    </xf>
    <xf numFmtId="0" fontId="17" fillId="16" borderId="1" applyAlignment="1" pivotButton="0" quotePrefix="0" xfId="0">
      <alignment horizontal="center" vertical="center"/>
    </xf>
    <xf numFmtId="0" fontId="18" fillId="16" borderId="1" applyAlignment="1" pivotButton="0" quotePrefix="0" xfId="0">
      <alignment horizontal="center" vertical="center" wrapText="1"/>
    </xf>
    <xf numFmtId="0" fontId="10" fillId="16" borderId="1" applyAlignment="1" pivotButton="0" quotePrefix="0" xfId="0">
      <alignment horizontal="left" vertical="top" wrapText="1"/>
    </xf>
    <xf numFmtId="0" fontId="19" fillId="16" borderId="1" applyAlignment="1" pivotButton="0" quotePrefix="0" xfId="0">
      <alignment horizontal="left" vertical="top" wrapText="1"/>
    </xf>
    <xf numFmtId="0" fontId="20" fillId="17" borderId="1" applyAlignment="1" pivotButton="0" quotePrefix="0" xfId="0">
      <alignment horizontal="center" vertical="center"/>
    </xf>
    <xf numFmtId="0" fontId="21" fillId="17" borderId="1" applyAlignment="1" pivotButton="0" quotePrefix="0" xfId="0">
      <alignment horizontal="center" vertical="center" wrapText="1"/>
    </xf>
    <xf numFmtId="0" fontId="10" fillId="17" borderId="1" applyAlignment="1" pivotButton="0" quotePrefix="0" xfId="0">
      <alignment horizontal="left" vertical="top" wrapText="1"/>
    </xf>
    <xf numFmtId="0" fontId="11" fillId="17" borderId="1" applyAlignment="1" pivotButton="0" quotePrefix="0" xfId="0">
      <alignment horizontal="left" vertical="top" wrapText="1"/>
    </xf>
    <xf numFmtId="0" fontId="22" fillId="18" borderId="1" applyAlignment="1" pivotButton="0" quotePrefix="0" xfId="0">
      <alignment horizontal="center" vertical="center"/>
    </xf>
    <xf numFmtId="0" fontId="23" fillId="18" borderId="1" applyAlignment="1" pivotButton="0" quotePrefix="0" xfId="0">
      <alignment horizontal="center" vertical="center" wrapText="1"/>
    </xf>
    <xf numFmtId="0" fontId="10" fillId="18" borderId="1" applyAlignment="1" pivotButton="0" quotePrefix="0" xfId="0">
      <alignment horizontal="left" vertical="top" wrapText="1"/>
    </xf>
    <xf numFmtId="0" fontId="24" fillId="18" borderId="1" applyAlignment="1" pivotButton="0" quotePrefix="0" xfId="0">
      <alignment horizontal="left" vertical="top" wrapText="1"/>
    </xf>
    <xf numFmtId="0" fontId="25" fillId="19" borderId="1" applyAlignment="1" pivotButton="0" quotePrefix="0" xfId="0">
      <alignment horizontal="center" vertical="center"/>
    </xf>
    <xf numFmtId="0" fontId="26" fillId="19" borderId="1" applyAlignment="1" pivotButton="0" quotePrefix="0" xfId="0">
      <alignment horizontal="center" vertical="center" wrapText="1"/>
    </xf>
    <xf numFmtId="0" fontId="10" fillId="19" borderId="1" applyAlignment="1" pivotButton="0" quotePrefix="0" xfId="0">
      <alignment horizontal="left" vertical="top" wrapText="1"/>
    </xf>
    <xf numFmtId="0" fontId="27" fillId="19" borderId="1" applyAlignment="1" pivotButton="0" quotePrefix="0" xfId="0">
      <alignment horizontal="left" vertical="top" wrapText="1"/>
    </xf>
    <xf numFmtId="0" fontId="0" fillId="8" borderId="1" pivotButton="0" quotePrefix="0" xfId="0"/>
    <xf numFmtId="0" fontId="9" fillId="8" borderId="1" pivotButton="0" quotePrefix="0" xfId="0"/>
    <xf numFmtId="0" fontId="28" fillId="14" borderId="1" applyAlignment="1" pivotButton="0" quotePrefix="0" xfId="0">
      <alignment horizontal="left" vertical="center" wrapText="1"/>
    </xf>
    <xf numFmtId="0" fontId="0" fillId="17" borderId="1" pivotButton="0" quotePrefix="0" xfId="0"/>
    <xf numFmtId="0" fontId="9" fillId="17" borderId="1" pivotButton="0" quotePrefix="0" xfId="0"/>
    <xf numFmtId="0" fontId="0" fillId="18" borderId="1" pivotButton="0" quotePrefix="0" xfId="0"/>
    <xf numFmtId="0" fontId="9" fillId="18" borderId="1" pivotButton="0" quotePrefix="0" xfId="0"/>
    <xf numFmtId="0" fontId="0" fillId="19" borderId="1" pivotButton="0" quotePrefix="0" xfId="0"/>
    <xf numFmtId="0" fontId="9" fillId="19"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pane ySplit="2" topLeftCell="A3" activePane="bottomLeft" state="frozen"/>
      <selection pane="bottomLeft" activeCell="A1" sqref="A1"/>
    </sheetView>
  </sheetViews>
  <sheetFormatPr baseColWidth="8" defaultRowHeight="15"/>
  <cols>
    <col width="34" customWidth="1" min="1" max="1"/>
    <col width="40" customWidth="1" min="2" max="2"/>
    <col width="22" customWidth="1" min="3" max="3"/>
    <col width="22" customWidth="1" min="4" max="4"/>
  </cols>
  <sheetData>
    <row r="1" ht="28" customHeight="1">
      <c r="A1" s="1" t="inlineStr">
        <is>
          <t>SISTEMA CIENTÍFICO DEL ALMA · FICHA MAESTRA SCA · PAULA CATRIAO GARANCILLA</t>
        </is>
      </c>
    </row>
    <row r="2" ht="18" customHeight="1">
      <c r="A2" s="2" t="inlineStr">
        <is>
          <t>Proceso terapéutico 2019–2025 · Facilitadora: María José Tardón García · @efdalma</t>
        </is>
      </c>
    </row>
    <row r="3" ht="8" customHeight="1"/>
    <row r="4" ht="20" customHeight="1">
      <c r="A4" s="3" t="inlineStr">
        <is>
          <t>A · DATOS IDENTIFICATIVOS</t>
        </is>
      </c>
    </row>
    <row r="5" ht="18" customHeight="1">
      <c r="A5" s="4" t="inlineStr">
        <is>
          <t>Nombre completo</t>
        </is>
      </c>
      <c r="B5" s="5" t="inlineStr">
        <is>
          <t>Paula Andrea Catriao Garancilla</t>
        </is>
      </c>
    </row>
    <row r="6" ht="18" customHeight="1">
      <c r="A6" s="4" t="inlineStr">
        <is>
          <t>Email</t>
        </is>
      </c>
      <c r="B6" s="5" t="inlineStr">
        <is>
          <t>paula.carancibia@gmail.com</t>
        </is>
      </c>
    </row>
    <row r="7" ht="18" customHeight="1">
      <c r="A7" s="4" t="inlineStr">
        <is>
          <t>Teléfono</t>
        </is>
      </c>
      <c r="B7" s="5" t="inlineStr">
        <is>
          <t>+56942573217</t>
        </is>
      </c>
    </row>
    <row r="8" ht="18" customHeight="1">
      <c r="A8" s="4" t="inlineStr">
        <is>
          <t>Ciudad</t>
        </is>
      </c>
      <c r="B8" s="5" t="inlineStr">
        <is>
          <t>Santiago, Chile</t>
        </is>
      </c>
    </row>
    <row r="9" ht="18" customHeight="1">
      <c r="A9" s="4" t="inlineStr">
        <is>
          <t>Centro de atención</t>
        </is>
      </c>
      <c r="B9" s="5" t="inlineStr">
        <is>
          <t>EFDALMA + ENGLOBASALUD</t>
        </is>
      </c>
    </row>
    <row r="10" ht="18" customHeight="1">
      <c r="A10" s="4" t="inlineStr">
        <is>
          <t>Frecuencia de sesiones</t>
        </is>
      </c>
      <c r="B10" s="5" t="inlineStr">
        <is>
          <t>Quincenal</t>
        </is>
      </c>
    </row>
    <row r="11" ht="18" customHeight="1">
      <c r="A11" s="4" t="inlineStr">
        <is>
          <t>En Agenda Online</t>
        </is>
      </c>
      <c r="B11" s="5" t="inlineStr">
        <is>
          <t>✅ SÍ</t>
        </is>
      </c>
    </row>
    <row r="12" ht="8" customHeight="1"/>
    <row r="13" ht="20" customHeight="1">
      <c r="A13" s="3" t="inlineStr">
        <is>
          <t>B · VOLUMEN DEL PROCESO</t>
        </is>
      </c>
    </row>
    <row r="14" ht="16" customHeight="1">
      <c r="A14" s="6" t="inlineStr">
        <is>
          <t>INDICADOR</t>
        </is>
      </c>
      <c r="B14" s="6" t="inlineStr">
        <is>
          <t>VALOR</t>
        </is>
      </c>
      <c r="C14" s="6" t="inlineStr">
        <is>
          <t>PERÍODO</t>
        </is>
      </c>
      <c r="D14" s="6" t="inlineStr">
        <is>
          <t>DETALLE</t>
        </is>
      </c>
    </row>
    <row r="15" ht="18" customHeight="1">
      <c r="A15" s="7" t="inlineStr">
        <is>
          <t>Sesiones individuales</t>
        </is>
      </c>
      <c r="B15" s="8" t="inlineStr">
        <is>
          <t>99</t>
        </is>
      </c>
      <c r="C15" s="9" t="inlineStr">
        <is>
          <t>2019 – 2024</t>
        </is>
      </c>
      <c r="D15" s="10" t="inlineStr">
        <is>
          <t>Registradas en Ficha Maestra · DOC1 cubre 67 sesiones documentadas (2020–2025)</t>
        </is>
      </c>
    </row>
    <row r="16" ht="18" customHeight="1">
      <c r="A16" s="4" t="inlineStr">
        <is>
          <t>Sesiones de Mentoría</t>
        </is>
      </c>
      <c r="B16" s="11" t="inlineStr">
        <is>
          <t>25</t>
        </is>
      </c>
      <c r="C16" s="12" t="inlineStr">
        <is>
          <t>2023 – 2025</t>
        </is>
      </c>
      <c r="D16" s="13" t="inlineStr">
        <is>
          <t>M1: Aprendiz a Maestro V1 · M2: Aprendiz a Maestro V2</t>
        </is>
      </c>
    </row>
    <row r="17" ht="18" customHeight="1">
      <c r="A17" s="7" t="inlineStr">
        <is>
          <t>Talleres SCA cursados</t>
        </is>
      </c>
      <c r="B17" s="8" t="inlineStr">
        <is>
          <t>26</t>
        </is>
      </c>
      <c r="C17" s="9" t="inlineStr">
        <is>
          <t>2023 – 2025</t>
        </is>
      </c>
      <c r="D17" s="10" t="inlineStr">
        <is>
          <t>Ejes 1–5 · Registro en Ficha Maestra</t>
        </is>
      </c>
    </row>
    <row r="18" ht="18" customHeight="1">
      <c r="A18" s="4" t="inlineStr">
        <is>
          <t>TOTAL sesiones+mentorías</t>
        </is>
      </c>
      <c r="B18" s="11">
        <f>B15+B16</f>
        <v/>
      </c>
      <c r="C18" s="12" t="inlineStr">
        <is>
          <t>2019 – 2025</t>
        </is>
      </c>
      <c r="D18" s="13" t="inlineStr">
        <is>
          <t>Sesiones individuales + sesiones de mentoría</t>
        </is>
      </c>
    </row>
    <row r="19" ht="18" customHeight="1">
      <c r="A19" s="7" t="inlineStr">
        <is>
          <t>Años atendida</t>
        </is>
      </c>
      <c r="B19" s="8" t="inlineStr">
        <is>
          <t>6</t>
        </is>
      </c>
      <c r="C19" s="9" t="inlineStr">
        <is>
          <t>2019 – 2024</t>
        </is>
      </c>
      <c r="D19" s="10" t="inlineStr">
        <is>
          <t>2019 · 2020 · 2021 · 2022 · 2023 · 2024 (base) + 2025 (DOC1)</t>
        </is>
      </c>
    </row>
    <row r="20" ht="18" customHeight="1">
      <c r="A20" s="4" t="inlineStr">
        <is>
          <t>Sesiones promedio/año</t>
        </is>
      </c>
      <c r="B20" s="11">
        <f>B15/B19</f>
        <v/>
      </c>
      <c r="C20" s="12" t="inlineStr">
        <is>
          <t>—</t>
        </is>
      </c>
      <c r="D20" s="13" t="inlineStr">
        <is>
          <t>Sesiones individuales ÷ años registrados en base</t>
        </is>
      </c>
    </row>
    <row r="21" ht="8" customHeight="1"/>
    <row r="22" ht="20" customHeight="1">
      <c r="A22" s="3" t="inlineStr">
        <is>
          <t>C · PROGRAMAS CURSADOS</t>
        </is>
      </c>
    </row>
    <row r="23" ht="16" customHeight="1">
      <c r="A23" s="6" t="inlineStr">
        <is>
          <t>PROGRAMA</t>
        </is>
      </c>
      <c r="B23" s="6" t="inlineStr">
        <is>
          <t>NOMBRE COMPLETO</t>
        </is>
      </c>
      <c r="C23" s="6" t="inlineStr">
        <is>
          <t>AÑO</t>
        </is>
      </c>
      <c r="D23" s="6" t="inlineStr">
        <is>
          <t>SESIONES</t>
        </is>
      </c>
    </row>
    <row r="24" ht="18" customHeight="1">
      <c r="A24" s="14" t="inlineStr">
        <is>
          <t>M1</t>
        </is>
      </c>
      <c r="B24" s="12" t="inlineStr">
        <is>
          <t>Aprendiz a Maestro V1</t>
        </is>
      </c>
      <c r="C24" s="11" t="inlineStr">
        <is>
          <t>2023</t>
        </is>
      </c>
      <c r="D24" s="13" t="inlineStr">
        <is>
          <t>Incluido en las 25 ses. de mentoría</t>
        </is>
      </c>
    </row>
    <row r="25" ht="18" customHeight="1">
      <c r="A25" s="15" t="inlineStr">
        <is>
          <t>M2</t>
        </is>
      </c>
      <c r="B25" s="9" t="inlineStr">
        <is>
          <t>Aprendiz a Maestro V2</t>
        </is>
      </c>
      <c r="C25" s="8" t="inlineStr">
        <is>
          <t>2024</t>
        </is>
      </c>
      <c r="D25" s="10" t="inlineStr">
        <is>
          <t>Incluido en las 25 ses. de mentoría</t>
        </is>
      </c>
    </row>
    <row r="26" ht="18" customHeight="1">
      <c r="A26" s="14" t="inlineStr">
        <is>
          <t>Talleres T01–T28</t>
        </is>
      </c>
      <c r="B26" s="12" t="inlineStr">
        <is>
          <t>Participación en 26 talleres SCA</t>
        </is>
      </c>
      <c r="C26" s="11" t="inlineStr">
        <is>
          <t>2023 · 2024 · 2025</t>
        </is>
      </c>
      <c r="D26" s="13" t="inlineStr">
        <is>
          <t>Ejes 1–5 · Años talleres: 2023, 2024, 2025</t>
        </is>
      </c>
    </row>
    <row r="27" ht="8" customHeight="1"/>
    <row r="28" ht="20" customHeight="1">
      <c r="A28" s="16" t="inlineStr">
        <is>
          <t>D · RESUMEN ESTRUCTURAL DEL PROCESO</t>
        </is>
      </c>
    </row>
    <row r="29" ht="30" customHeight="1">
      <c r="A29" s="17" t="inlineStr">
        <is>
          <t>Núcleo inicial</t>
        </is>
      </c>
      <c r="B29" s="18" t="inlineStr">
        <is>
          <t>Flotación-Abandono post separación parental (16 años). Sin piso identitario. Reactividad alta en los tres ejes: laboral, amoroso y familiar.</t>
        </is>
      </c>
    </row>
    <row r="30" ht="30" customHeight="1">
      <c r="A30" s="19" t="inlineStr">
        <is>
          <t>Pilares trabajados</t>
        </is>
      </c>
      <c r="B30" s="10" t="inlineStr">
        <is>
          <t>Pilar I — Autoconocimiento (2019–2022) · Pilar II — Integración (2022–2025) · Pilar III — Propósito emergente (2024–2025)</t>
        </is>
      </c>
    </row>
    <row r="31" ht="30" customHeight="1">
      <c r="A31" s="17" t="inlineStr">
        <is>
          <t>Personajes centrales</t>
        </is>
      </c>
      <c r="B31" s="18" t="inlineStr">
        <is>
          <t>La Pauli Chica · La Víctima · La Ejecutiva / Jefa Interna · La Enrollada · La Hipersensible · La Mujer Libre y Disponible (decreto 2023)</t>
        </is>
      </c>
    </row>
    <row r="32" ht="30" customHeight="1">
      <c r="A32" s="19" t="inlineStr">
        <is>
          <t>Patrón raíz</t>
        </is>
      </c>
      <c r="B32" s="10" t="inlineStr">
        <is>
          <t>Abandono → Flotación → Demanda. Todos los demás patrones son derivados o manifestaciones contextuales de este núcleo.</t>
        </is>
      </c>
    </row>
    <row r="33" ht="30" customHeight="1">
      <c r="A33" s="17" t="inlineStr">
        <is>
          <t>Arquetipos activos</t>
        </is>
      </c>
      <c r="B33" s="18" t="inlineStr">
        <is>
          <t>Víctima-Victimario (heredado) · Ejecutiva Eficiente · Loba Interior (emergente) · Mujer Disponible para el Amor (decretado 2023)</t>
        </is>
      </c>
    </row>
    <row r="34" ht="30" customHeight="1">
      <c r="A34" s="19" t="inlineStr">
        <is>
          <t>Nivel SCA actual</t>
        </is>
      </c>
      <c r="B34" s="10" t="inlineStr">
        <is>
          <t>🟢 COMEDIA — Con Mentoría · Próximo paso: Mentoría M4 · T29 Ruta del Deseo · T28 Química del Alma</t>
        </is>
      </c>
    </row>
    <row r="35" ht="30" customHeight="1">
      <c r="A35" s="17" t="inlineStr">
        <is>
          <t>Hito clave del proceso</t>
        </is>
      </c>
      <c r="B35" s="18" t="inlineStr">
        <is>
          <t>Sesión 19/10/2023: regresión transgeneracional + liberación del lazo sexual + decreto de disponibilidad para el amor. Sesión más profunda del proceso.</t>
        </is>
      </c>
    </row>
    <row r="36" ht="30" customHeight="1">
      <c r="A36" s="19" t="inlineStr">
        <is>
          <t>Estado Marzo 2026</t>
        </is>
      </c>
      <c r="B36" s="10" t="inlineStr">
        <is>
          <t>Pendiente de reactivación · Candidata preferente para Mentoría M4 · Segunda paciente en la base de reactivación SCA 2026</t>
        </is>
      </c>
    </row>
  </sheetData>
  <mergeCells count="21">
    <mergeCell ref="B11:D11"/>
    <mergeCell ref="A22:D22"/>
    <mergeCell ref="A4:D4"/>
    <mergeCell ref="B8:D8"/>
    <mergeCell ref="B29:D29"/>
    <mergeCell ref="A28:D28"/>
    <mergeCell ref="A13:D13"/>
    <mergeCell ref="B34:D34"/>
    <mergeCell ref="B10:D10"/>
    <mergeCell ref="B9:D9"/>
    <mergeCell ref="B30:D30"/>
    <mergeCell ref="B6:D6"/>
    <mergeCell ref="B33:D33"/>
    <mergeCell ref="A1:D1"/>
    <mergeCell ref="B5:D5"/>
    <mergeCell ref="B36:D36"/>
    <mergeCell ref="B32:D32"/>
    <mergeCell ref="B35:D35"/>
    <mergeCell ref="B7:D7"/>
    <mergeCell ref="B31:D3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10" customWidth="1" min="2" max="2"/>
    <col width="26" customWidth="1" min="3" max="3"/>
    <col width="22" customWidth="1" min="4" max="4"/>
    <col width="38" customWidth="1" min="5" max="5"/>
    <col width="42" customWidth="1" min="6" max="6"/>
    <col width="42" customWidth="1" min="7" max="7"/>
    <col width="18" customWidth="1" min="8" max="8"/>
  </cols>
  <sheetData>
    <row r="1" ht="28" customHeight="1">
      <c r="A1" s="1" t="inlineStr">
        <is>
          <t>SISTEMA CIENTÍFICO DEL ALMA · RESUMEN POR AÑO · PAULA CATRIAO GARANCILLA 2019–2025</t>
        </is>
      </c>
    </row>
    <row r="2" ht="16" customHeight="1">
      <c r="A2" s="2" t="inlineStr">
        <is>
          <t>Documento 2 — Ficha SCA Individual · Análisis Estructural · Protocolo PROMPT MAESTRO SCA v1.2</t>
        </is>
      </c>
    </row>
    <row r="3" ht="8" customHeight="1"/>
    <row r="4" ht="32" customHeight="1">
      <c r="A4" s="20" t="inlineStr">
        <is>
          <t>AÑO</t>
        </is>
      </c>
      <c r="B4" s="20" t="inlineStr">
        <is>
          <t>SESIONES</t>
        </is>
      </c>
      <c r="C4" s="20" t="inlineStr">
        <is>
          <t>PILAR SCA</t>
        </is>
      </c>
      <c r="D4" s="20" t="inlineStr">
        <is>
          <t>NIVEL NARRATIVO</t>
        </is>
      </c>
      <c r="E4" s="20" t="inlineStr">
        <is>
          <t>PERSONAJES ACTIVOS</t>
        </is>
      </c>
      <c r="F4" s="20" t="inlineStr">
        <is>
          <t>HITO CLAVE DEL PERÍODO</t>
        </is>
      </c>
      <c r="G4" s="20" t="inlineStr">
        <is>
          <t>PUNTO DE QUIEBRE</t>
        </is>
      </c>
      <c r="H4" s="20" t="inlineStr">
        <is>
          <t>ESTADO</t>
        </is>
      </c>
    </row>
    <row r="5" ht="75" customHeight="1">
      <c r="A5" s="21" t="inlineStr">
        <is>
          <t>2019</t>
        </is>
      </c>
      <c r="B5" s="22" t="inlineStr">
        <is>
          <t>~7 est.</t>
        </is>
      </c>
      <c r="C5" s="23" t="inlineStr">
        <is>
          <t>Pilar I
Autoconocimiento inicial</t>
        </is>
      </c>
      <c r="D5" s="24" t="inlineStr">
        <is>
          <t>🔴 Nivel 1
Drama total</t>
        </is>
      </c>
      <c r="E5" s="23" t="inlineStr">
        <is>
          <t>Víctima del abandono · La Flotante · La Estudiante-Ejecutiva (proto)</t>
        </is>
      </c>
      <c r="F5" s="23" t="inlineStr">
        <is>
          <t>Primera sesión. Motivo de consulta: temas familiares que afectan vida laboral y amorosa. Derivada por la madre.</t>
        </is>
      </c>
      <c r="G5" s="23" t="inlineStr">
        <is>
          <t>Inicio del proceso. Llegada como paciente derivada sin convicción propia → emerge el «quiero sanarme a mí».</t>
        </is>
      </c>
      <c r="H5" s="25" t="inlineStr">
        <is>
          <t>📌 AÑO CERO
(no documentado en DOC1)</t>
        </is>
      </c>
    </row>
    <row r="6" ht="75" customHeight="1">
      <c r="A6" s="26" t="inlineStr">
        <is>
          <t>2020</t>
        </is>
      </c>
      <c r="B6" s="27" t="inlineStr">
        <is>
          <t>17</t>
        </is>
      </c>
      <c r="C6" s="28" t="inlineStr">
        <is>
          <t>Pilar I
Autoconocimiento activo</t>
        </is>
      </c>
      <c r="D6" s="24" t="inlineStr">
        <is>
          <t>🔴 Nivel 1
Drama con Ironía emergente</t>
        </is>
      </c>
      <c r="E6" s="28" t="inlineStr">
        <is>
          <t>La Pauli Chica · La Víctima · La Profesional Eficiente · La Ahorrante</t>
        </is>
      </c>
      <c r="F6" s="28" t="inlineStr">
        <is>
          <t>Renuncia al trabajo desde la ética. Compra primer auto (Renault Symbol). Conversación de reparación con la madre. Tatuaje de mariposa.</t>
        </is>
      </c>
      <c r="G6" s="28" t="inlineStr">
        <is>
          <t>Jul 2020 — Separación entre la Pauli Chica y la Pauli de 27.
Dic 2020 — «Salir por la puerta ancha»: primera renuncia sin drama.</t>
        </is>
      </c>
      <c r="H6" s="25" t="inlineStr">
        <is>
          <t>📌 AÑO BASE
(17 sesiones doc.)</t>
        </is>
      </c>
    </row>
    <row r="7" ht="75" customHeight="1">
      <c r="A7" s="21" t="inlineStr">
        <is>
          <t>2021</t>
        </is>
      </c>
      <c r="B7" s="22" t="inlineStr">
        <is>
          <t>12</t>
        </is>
      </c>
      <c r="C7" s="23" t="inlineStr">
        <is>
          <t>Pilar I → II
Primera transición</t>
        </is>
      </c>
      <c r="D7" s="29" t="inlineStr">
        <is>
          <t>🔴🟡 Nivel 1
con destellos de Nivel 2</t>
        </is>
      </c>
      <c r="E7" s="23" t="inlineStr">
        <is>
          <t>La Pauli Chica (alta activación) · La Límite (emergente) · La Profesional Resiliente · La Enrollada (proto)</t>
        </is>
      </c>
      <c r="F7" s="23" t="inlineStr">
        <is>
          <t>24/02/2021 — bajarse del auto ante la violencia materna. Cierre limpio con Rodrigo. Corner Shop como lección de no-control.</t>
        </is>
      </c>
      <c r="G7" s="23" t="inlineStr">
        <is>
          <t>Feb 2021 — bajarse del auto: primera regulación consciente en el momento de máxima activación.
May 2021 — Corner Shop: «no puedo controlar lo que llega, solo mi disposición».</t>
        </is>
      </c>
      <c r="H7" s="25" t="inlineStr">
        <is>
          <t>📌 PRIMERA TRANSICIÓN
(12 sesiones doc.)</t>
        </is>
      </c>
    </row>
    <row r="8" ht="75" customHeight="1">
      <c r="A8" s="26" t="inlineStr">
        <is>
          <t>2022</t>
        </is>
      </c>
      <c r="B8" s="27" t="inlineStr">
        <is>
          <t>4</t>
        </is>
      </c>
      <c r="C8" s="28" t="inlineStr">
        <is>
          <t>Pilar II
Integración activa</t>
        </is>
      </c>
      <c r="D8" s="29" t="inlineStr">
        <is>
          <t>🟡 Nivel 2
Ironía consolidada</t>
        </is>
      </c>
      <c r="E8" s="28" t="inlineStr">
        <is>
          <t>La Ejecutiva · La Enrollada (nombrada) · La Obediente al Mandato · La Loba Interior (emergente)</t>
        </is>
      </c>
      <c r="F8" s="28" t="inlineStr">
        <is>
          <t>Ascenso a ejecutiva en Falabella. Mudanza a departamento propio. Expiación de programas heredados de pareja, dinero y hogar. Matías Cabrera como primer fractal masculino positivo.</t>
        </is>
      </c>
      <c r="G8" s="28" t="inlineStr">
        <is>
          <t>Ago 2022 — expiación de los programas heredados más profundos: primera des-instalación, no solo identificación.
Nov 2022 — culpa por la mudanza: el programa «para ser exitosa debo dejar a mi familia» operando hasta último momento.</t>
        </is>
      </c>
      <c r="H8" s="25" t="inlineStr">
        <is>
          <t>📌 AÑO DE PRECISIÓN
(4 sesiones doc.)</t>
        </is>
      </c>
    </row>
    <row r="9" ht="75" customHeight="1">
      <c r="A9" s="21" t="inlineStr">
        <is>
          <t>2023</t>
        </is>
      </c>
      <c r="B9" s="22" t="inlineStr">
        <is>
          <t>15</t>
        </is>
      </c>
      <c r="C9" s="23" t="inlineStr">
        <is>
          <t>Pilar II → III
Mayor profundidad</t>
        </is>
      </c>
      <c r="D9" s="30" t="inlineStr">
        <is>
          <t>🟡 Nivel 2
Ironía + Comedia emergente</t>
        </is>
      </c>
      <c r="E9" s="23" t="inlineStr">
        <is>
          <t>La Enrollada (trabajo activo) · El Personaje Ansioso · La Transporte · La Hipersensible (emergente) · La Mujer Libre y Disponible (decreto)</t>
        </is>
      </c>
      <c r="F9" s="23" t="inlineStr">
        <is>
          <t>19/10/2023 — sesión más profunda del proceso: recuerdo de infancia nunca contado, regresión transgeneracional, liberación del lazo sexual, decreto de disponibilidad para el amor. Conversación del padre en Ocean Pacific (los tres temas sin que Paula dijera nada).</t>
        </is>
      </c>
      <c r="G9" s="23" t="inlineStr">
        <is>
          <t>Oct 2023 — bloque de 5 sesiones en 3 semanas: apertura del trabajo transgeneracional.
«Soy una mujer libre y estoy disponible para encontrar una pareja y el amor.»</t>
        </is>
      </c>
      <c r="H9" s="25" t="inlineStr">
        <is>
          <t>📌 AÑO MÁS DENSO
(15 sesiones doc.)</t>
        </is>
      </c>
    </row>
    <row r="10" ht="75" customHeight="1">
      <c r="A10" s="26" t="inlineStr">
        <is>
          <t>2024</t>
        </is>
      </c>
      <c r="B10" s="27" t="inlineStr">
        <is>
          <t>14</t>
        </is>
      </c>
      <c r="C10" s="28" t="inlineStr">
        <is>
          <t>Pilar II–III
Calma activa</t>
        </is>
      </c>
      <c r="D10" s="30" t="inlineStr">
        <is>
          <t>🟡🟢 Nivel 2
con Comedia frecuente</t>
        </is>
      </c>
      <c r="E10" s="28" t="inlineStr">
        <is>
          <t>La Barbie / La que gasta en imagen · La Jefa Interna (emergente) · La Codependiente del Resultado · La Calma Activa (nuevo estado)</t>
        </is>
      </c>
      <c r="F10" s="28" t="inlineStr">
        <is>
          <t>Julio 2024 — «switch»: decisión de no sufrir más en Falabella. Primera entrevista sin dejo de rabia. Honestidad con el jefe con testigo. Disculpa al compañero. Tarot de diciembre: «no matar a la antigua Pauli — la esencia ya es suficiente».</t>
        </is>
      </c>
      <c r="G10" s="28" t="inlineStr">
        <is>
          <t>Jul 2024 — el switch: acto de voluntad más explícito del proceso. No esperar que cambie la circunstancia — cambiar el estado propio ante ella.
Dic 2024 — «esto es lo mejor que está pasando»: modo tiempo presente instalado.</t>
        </is>
      </c>
      <c r="H10" s="25" t="inlineStr">
        <is>
          <t>📌 AÑO DE LA CALMA
(14 sesiones doc.)</t>
        </is>
      </c>
    </row>
    <row r="11" ht="75" customHeight="1">
      <c r="A11" s="21" t="inlineStr">
        <is>
          <t>2025</t>
        </is>
      </c>
      <c r="B11" s="22" t="inlineStr">
        <is>
          <t>5</t>
        </is>
      </c>
      <c r="C11" s="23" t="inlineStr">
        <is>
          <t>Pilar II profundo
Fase 1: sentir</t>
        </is>
      </c>
      <c r="D11" s="30" t="inlineStr">
        <is>
          <t>🟡🟢 Nivel 2-3
Ironía madura</t>
        </is>
      </c>
      <c r="E11" s="23" t="inlineStr">
        <is>
          <t>La Aceleradora · La que Siente (nueva) · La Codependiente (espejo materno) · La Procesadora Madura</t>
        </is>
      </c>
      <c r="F11" s="23" t="inlineStr">
        <is>
          <t>Primer llanto permitido ante el rechazo de Diego González. Despido de Walmart procesado sin Drama. «Quiero volver contigo» — regreso consciente a la facilitadora. Antecedentes depresivos nombrados con claridad por primera vez.</t>
        </is>
      </c>
      <c r="G11" s="23" t="inlineStr">
        <is>
          <t>Feb 2025 — primer llanto sin editar: «no quiero que sea una estupidez».
Abr 2025 — «mi personalidad contaminó la lectura del proceso. Lo interpretaba todo desde la programación, no desde el sentir.»</t>
        </is>
      </c>
      <c r="H11" s="25" t="inlineStr">
        <is>
          <t>📌 AÑO DEL SENTIR
(5 sesiones doc.)</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8" customHeight="1">
      <c r="A1" s="1" t="inlineStr">
        <is>
          <t>SISTEMA CIENTÍFICO DEL ALMA · MATRIZ DE MEDICIÓN ACUMULATIVA · PAULA CATRIAO 2019–2025</t>
        </is>
      </c>
    </row>
    <row r="2" ht="18" customHeight="1">
      <c r="A2" s="31" t="inlineStr">
        <is>
          <t>Escala: Bajo · Bajo-Medio · Medio · Medio-Alto · Alto · Muy Alto · Residual     |     🔴 Rojo = Bajo/Muy Alto reactividad     🟡 Amarillo = Medio     🟢 Verde = Alto/consolidado</t>
        </is>
      </c>
    </row>
    <row r="3" ht="8" customHeight="1"/>
    <row r="4" ht="36" customHeight="1">
      <c r="A4" s="32" t="inlineStr">
        <is>
          <t>INDICADOR</t>
        </is>
      </c>
      <c r="B4" s="32" t="inlineStr">
        <is>
          <t>2019
(est.)</t>
        </is>
      </c>
      <c r="C4" s="32" t="inlineStr">
        <is>
          <t>2020</t>
        </is>
      </c>
      <c r="D4" s="32" t="inlineStr">
        <is>
          <t>2021</t>
        </is>
      </c>
      <c r="E4" s="32" t="inlineStr">
        <is>
          <t>2022</t>
        </is>
      </c>
      <c r="F4" s="32" t="inlineStr">
        <is>
          <t>2023</t>
        </is>
      </c>
      <c r="G4" s="32" t="inlineStr">
        <is>
          <t>2024</t>
        </is>
      </c>
      <c r="H4" s="32" t="inlineStr">
        <is>
          <t>2025</t>
        </is>
      </c>
      <c r="I4" s="32" t="inlineStr">
        <is>
          <t>ACUMULADO
2019–2025</t>
        </is>
      </c>
    </row>
    <row r="5" ht="22" customHeight="1">
      <c r="A5" s="4" t="inlineStr">
        <is>
          <t>Reactividad</t>
        </is>
      </c>
      <c r="B5" s="33" t="inlineStr">
        <is>
          <t>Alto</t>
        </is>
      </c>
      <c r="C5" s="33" t="inlineStr">
        <is>
          <t>Alto</t>
        </is>
      </c>
      <c r="D5" s="34" t="inlineStr">
        <is>
          <t>Medio-Alto</t>
        </is>
      </c>
      <c r="E5" s="34" t="inlineStr">
        <is>
          <t>Medio</t>
        </is>
      </c>
      <c r="F5" s="34" t="inlineStr">
        <is>
          <t>Medio</t>
        </is>
      </c>
      <c r="G5" s="34" t="inlineStr">
        <is>
          <t>Medio</t>
        </is>
      </c>
      <c r="H5" s="35" t="inlineStr">
        <is>
          <t>Bajo-Medio</t>
        </is>
      </c>
      <c r="I5" s="36" t="inlineStr">
        <is>
          <t>▼ Descenso sostenido</t>
        </is>
      </c>
    </row>
    <row r="6" ht="22" customHeight="1">
      <c r="A6" s="4" t="inlineStr">
        <is>
          <t>Responsabilidad</t>
        </is>
      </c>
      <c r="B6" s="37" t="inlineStr">
        <is>
          <t>Bajo</t>
        </is>
      </c>
      <c r="C6" s="33" t="inlineStr">
        <is>
          <t>Bajo-Medio</t>
        </is>
      </c>
      <c r="D6" s="34" t="inlineStr">
        <is>
          <t>Medio</t>
        </is>
      </c>
      <c r="E6" s="34" t="inlineStr">
        <is>
          <t>Medio-Alto</t>
        </is>
      </c>
      <c r="F6" s="34" t="inlineStr">
        <is>
          <t>Medio-Alto</t>
        </is>
      </c>
      <c r="G6" s="35" t="inlineStr">
        <is>
          <t>Alto</t>
        </is>
      </c>
      <c r="H6" s="35" t="inlineStr">
        <is>
          <t>Alto</t>
        </is>
      </c>
      <c r="I6" s="38" t="inlineStr">
        <is>
          <t>▲ Ascenso sostenido</t>
        </is>
      </c>
    </row>
    <row r="7" ht="22" customHeight="1">
      <c r="A7" s="4" t="inlineStr">
        <is>
          <t>Narrativa Víctima</t>
        </is>
      </c>
      <c r="B7" s="33" t="inlineStr">
        <is>
          <t>Alto</t>
        </is>
      </c>
      <c r="C7" s="34" t="inlineStr">
        <is>
          <t>Medio-Alto</t>
        </is>
      </c>
      <c r="D7" s="34" t="inlineStr">
        <is>
          <t>Medio</t>
        </is>
      </c>
      <c r="E7" s="34" t="inlineStr">
        <is>
          <t>Medio</t>
        </is>
      </c>
      <c r="F7" s="34" t="inlineStr">
        <is>
          <t>Medio</t>
        </is>
      </c>
      <c r="G7" s="35" t="inlineStr">
        <is>
          <t>Bajo-Medio</t>
        </is>
      </c>
      <c r="H7" s="35" t="inlineStr">
        <is>
          <t>Bajo-Medio</t>
        </is>
      </c>
      <c r="I7" s="36" t="inlineStr">
        <is>
          <t>▼ Descenso sostenido</t>
        </is>
      </c>
    </row>
    <row r="8" ht="22" customHeight="1">
      <c r="A8" s="4" t="inlineStr">
        <is>
          <t>Regulación</t>
        </is>
      </c>
      <c r="B8" s="37" t="inlineStr">
        <is>
          <t>Bajo</t>
        </is>
      </c>
      <c r="C8" s="33" t="inlineStr">
        <is>
          <t>Bajo-Medio</t>
        </is>
      </c>
      <c r="D8" s="34" t="inlineStr">
        <is>
          <t>Medio</t>
        </is>
      </c>
      <c r="E8" s="34" t="inlineStr">
        <is>
          <t>Medio-Alto</t>
        </is>
      </c>
      <c r="F8" s="35" t="inlineStr">
        <is>
          <t>Alto</t>
        </is>
      </c>
      <c r="G8" s="35" t="inlineStr">
        <is>
          <t>Alto</t>
        </is>
      </c>
      <c r="H8" s="35" t="inlineStr">
        <is>
          <t>Alto</t>
        </is>
      </c>
      <c r="I8" s="38" t="inlineStr">
        <is>
          <t>▲ Ascenso sostenido</t>
        </is>
      </c>
    </row>
    <row r="9" ht="22" customHeight="1">
      <c r="A9" s="4" t="inlineStr">
        <is>
          <t>Coherencia</t>
        </is>
      </c>
      <c r="B9" s="37" t="inlineStr">
        <is>
          <t>Bajo</t>
        </is>
      </c>
      <c r="C9" s="34" t="inlineStr">
        <is>
          <t>Medio</t>
        </is>
      </c>
      <c r="D9" s="34" t="inlineStr">
        <is>
          <t>Medio</t>
        </is>
      </c>
      <c r="E9" s="34" t="inlineStr">
        <is>
          <t>Medio-Alto</t>
        </is>
      </c>
      <c r="F9" s="34" t="inlineStr">
        <is>
          <t>Medio-Alto</t>
        </is>
      </c>
      <c r="G9" s="35" t="inlineStr">
        <is>
          <t>Alto</t>
        </is>
      </c>
      <c r="H9" s="35" t="inlineStr">
        <is>
          <t>Alto</t>
        </is>
      </c>
      <c r="I9" s="38" t="inlineStr">
        <is>
          <t>▲ Ascenso sostenido</t>
        </is>
      </c>
    </row>
    <row r="10" ht="22" customHeight="1">
      <c r="A10" s="4" t="inlineStr">
        <is>
          <t>Sostenimiento</t>
        </is>
      </c>
      <c r="B10" s="37" t="inlineStr">
        <is>
          <t>Bajo</t>
        </is>
      </c>
      <c r="C10" s="33" t="inlineStr">
        <is>
          <t>Bajo-Medio</t>
        </is>
      </c>
      <c r="D10" s="34" t="inlineStr">
        <is>
          <t>Medio</t>
        </is>
      </c>
      <c r="E10" s="34" t="inlineStr">
        <is>
          <t>Medio-Alto</t>
        </is>
      </c>
      <c r="F10" s="34" t="inlineStr">
        <is>
          <t>Medio-Alto</t>
        </is>
      </c>
      <c r="G10" s="35" t="inlineStr">
        <is>
          <t>Alto</t>
        </is>
      </c>
      <c r="H10" s="34" t="inlineStr">
        <is>
          <t>Medio-Alto</t>
        </is>
      </c>
      <c r="I10" s="38" t="inlineStr">
        <is>
          <t>▲ Con oscilaciones</t>
        </is>
      </c>
    </row>
    <row r="11" ht="12" customHeight="1"/>
    <row r="12" ht="18" customHeight="1">
      <c r="A12" s="39" t="inlineStr">
        <is>
          <t>LEYENDA DE COLORES</t>
        </is>
      </c>
    </row>
    <row r="13" ht="18" customHeight="1">
      <c r="A13" s="40" t="inlineStr">
        <is>
          <t xml:space="preserve">  ████</t>
        </is>
      </c>
      <c r="B13" s="41" t="inlineStr">
        <is>
          <t>ALTO/MUY ALTO en Reactividad o Narrativa Víctima — estado de mayor activación / Drama</t>
        </is>
      </c>
    </row>
    <row r="14" ht="18" customHeight="1">
      <c r="A14" s="42" t="inlineStr">
        <is>
          <t xml:space="preserve">  ████</t>
        </is>
      </c>
      <c r="B14" s="41" t="inlineStr">
        <is>
          <t>BAJO/MUY BAJO en indicadores positivos (Responsabilidad, Regulación, Coherencia, Sostenimiento)</t>
        </is>
      </c>
    </row>
    <row r="15" ht="18" customHeight="1">
      <c r="A15" s="43" t="inlineStr">
        <is>
          <t xml:space="preserve">  ████</t>
        </is>
      </c>
      <c r="B15" s="41" t="inlineStr">
        <is>
          <t>NIVEL MEDIO — transición · oscilación entre Drama e Ironía</t>
        </is>
      </c>
    </row>
    <row r="16" ht="18" customHeight="1">
      <c r="A16" s="44" t="inlineStr">
        <is>
          <t xml:space="preserve">  ████</t>
        </is>
      </c>
      <c r="B16" s="41" t="inlineStr">
        <is>
          <t>BAJO en Reactividad/Narrativa Víctima o ALTO en indicadores positivos — avance real</t>
        </is>
      </c>
    </row>
    <row r="17" ht="18" customHeight="1">
      <c r="A17" s="45" t="inlineStr">
        <is>
          <t xml:space="preserve">  ████</t>
        </is>
      </c>
      <c r="B17" s="41" t="inlineStr">
        <is>
          <t>MUY BAJO en Reactividad o MUY ALTO en indicadores positivos — consolidado</t>
        </is>
      </c>
    </row>
  </sheetData>
  <mergeCells count="8">
    <mergeCell ref="B13:I13"/>
    <mergeCell ref="A2:I2"/>
    <mergeCell ref="B15:I15"/>
    <mergeCell ref="A12:D12"/>
    <mergeCell ref="B16:I16"/>
    <mergeCell ref="A1:I1"/>
    <mergeCell ref="B14:I14"/>
    <mergeCell ref="B17:I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60" customWidth="1" min="3" max="3"/>
    <col width="40" customWidth="1" min="4" max="4"/>
  </cols>
  <sheetData>
    <row r="1" ht="28" customHeight="1">
      <c r="A1" s="1" t="inlineStr">
        <is>
          <t>SISTEMA CIENTÍFICO DEL ALMA · EVOLUCIÓN SEMÁNTICA Y TÉRMINOS SCA · PAULA CATRIAO 2019–2025</t>
        </is>
      </c>
    </row>
    <row r="2" ht="16" customHeight="1">
      <c r="A2" s="2" t="inlineStr">
        <is>
          <t>Cómo evoluciona el lenguaje del proceso — de la metáfora pedagógica a la identidad operativa · Capa 3 del Documento 2 SCA</t>
        </is>
      </c>
    </row>
    <row r="3" ht="8" customHeight="1"/>
    <row r="4" ht="24" customHeight="1">
      <c r="A4" s="20" t="inlineStr">
        <is>
          <t>AÑO</t>
        </is>
      </c>
      <c r="B4" s="20" t="inlineStr">
        <is>
          <t>FASE DE LENGUAJE</t>
        </is>
      </c>
      <c r="C4" s="20" t="inlineStr">
        <is>
          <t>TÉRMINOS Y CONCEPTOS SCA PREDOMINANTES</t>
        </is>
      </c>
      <c r="D4" s="20" t="inlineStr">
        <is>
          <t>CAMBIO CLAVE</t>
        </is>
      </c>
    </row>
    <row r="5" ht="68" customHeight="1">
      <c r="A5" s="46" t="inlineStr">
        <is>
          <t>2019</t>
        </is>
      </c>
      <c r="B5" s="47" t="inlineStr">
        <is>
          <t>FASE 1
Pedagógico-
Metafórica</t>
        </is>
      </c>
      <c r="C5" s="48" t="inlineStr">
        <is>
          <t>Motivo de consulta · Flotación · Herida de separación · Árbol genealógico (incipiente) · Chakras · Numerología · Personaje (primer contacto) · Tarot · Sanarse a mí misma</t>
        </is>
      </c>
      <c r="D5" s="49" t="inlineStr">
        <is>
          <t>La metáfora como puerta de entrada. El proceso empieza como «ayuda» — no como sistema estructural.</t>
        </is>
      </c>
    </row>
    <row r="6" ht="68" customHeight="1">
      <c r="A6" s="46" t="inlineStr">
        <is>
          <t>2020</t>
        </is>
      </c>
      <c r="B6" s="47" t="inlineStr">
        <is>
          <t>FASE 1
Pedagógico-
Metafórica</t>
        </is>
      </c>
      <c r="C6" s="48" t="inlineStr">
        <is>
          <t>Pauli Chica / Pauli adulta · Víctima-Victimario · Fractales de meses · Árbol genealógico activo · Chakras laringio/sexual/raíz · Drama · Límite (incipiente) · Responsabilidad (emergente) · Visualización · Certeza · El Viaje del Héroe · Acción correctiva (primera aparición)</t>
        </is>
      </c>
      <c r="D6" s="49" t="inlineStr">
        <is>
          <t>La metáfora diferenciadora: «la Pauli Chica y la Pauli de 27». Primera herramienta de autoobservación estructural.</t>
        </is>
      </c>
    </row>
    <row r="7" ht="68" customHeight="1">
      <c r="A7" s="46" t="inlineStr">
        <is>
          <t>2021</t>
        </is>
      </c>
      <c r="B7" s="47" t="inlineStr">
        <is>
          <t>FASE 1
Pedagógico-
Metafórica</t>
        </is>
      </c>
      <c r="C7" s="48" t="inlineStr">
        <is>
          <t>Número dos / Número uno · Obsesiones (diversificar) · Egregor · No-control (Corner Shop) · Límites en lo amoroso · Acción correctiva (cierre con Rodrigo) · Patrón de reproducción del vínculo materno · Regulación (primera pausa) · Árbol de abuso / árbol de respeto</t>
        </is>
      </c>
      <c r="D7" s="49" t="inlineStr">
        <is>
          <t>Primera integración conductual real. «No puedo controlar lo que llega, solo mi disposición.» El concepto de pausa consciente en el momento.</t>
        </is>
      </c>
    </row>
    <row r="8" ht="68" customHeight="1">
      <c r="A8" s="50" t="inlineStr">
        <is>
          <t>2022</t>
        </is>
      </c>
      <c r="B8" s="51" t="inlineStr">
        <is>
          <t>FASE 2
Estructural-
Diagnóstica</t>
        </is>
      </c>
      <c r="C8" s="52" t="inlineStr">
        <is>
          <t>Expiación de programas heredados · Pensamiento delincuente como espejo · La Enrollada (nombrada) · Fractal femenino-masculino · Merecimiento bloqueado · Herida del hogar / exclusión · La Loba Interior · Auto viejo = hombre usado (símbolo central) · Co-creación (emergente) · Pilar II activado</t>
        </is>
      </c>
      <c r="D8" s="53" t="inlineStr">
        <is>
          <t>Del descubrimiento a la des-instalación. Los programas ya tienen nombre — ahora se pueden expiar activamente.</t>
        </is>
      </c>
    </row>
    <row r="9" ht="68" customHeight="1">
      <c r="A9" s="50" t="inlineStr">
        <is>
          <t>2023</t>
        </is>
      </c>
      <c r="B9" s="51" t="inlineStr">
        <is>
          <t>FASE 2
Estructural-
Diagnóstica</t>
        </is>
      </c>
      <c r="C9" s="52" t="inlineStr">
        <is>
          <t>Regresión transgeneracional · Crímenes sin resolver (sexual, culpa separación padres) · Lazo en el aparato reproductor · Disponibilidad para el amor (decreto) · Energía femenina / recibir · Hipersensibilidad como herramienta · Constelación / Perdón al Willy · Palabra «propiedad» (eje integrador) · Sueños premonitorios · Fase de trabajo amoroso activa · La Química del Alma / Catalizador</t>
        </is>
      </c>
      <c r="D9" s="53" t="inlineStr">
        <is>
          <t>El año de mayor profundidad. El lenguaje toca lo transgeneracional y lo somático. «Soy libre y disponible para el amor» — primer decreto de apertura desde la responsabilidad.</t>
        </is>
      </c>
    </row>
    <row r="10" ht="68" customHeight="1">
      <c r="A10" s="54" t="inlineStr">
        <is>
          <t>2024</t>
        </is>
      </c>
      <c r="B10" s="55" t="inlineStr">
        <is>
          <t>FASE 3
Consolidativa-
Aplicada</t>
        </is>
      </c>
      <c r="C10" s="56" t="inlineStr">
        <is>
          <t>Calma activa · Switch de actitud · Modo tiempo presente («esto es lo mejor que está pasando») · Perdón como herramienta (no olvidar — soltar drama) · Delegación al 40% · Indispensable re-significado · Jefa interna · Felicidad finita (patrón identificado) · Rituales de intención · Resistencia a la estructura (energía masculina)</t>
        </is>
      </c>
      <c r="D10" s="57" t="inlineStr">
        <is>
          <t>Del lenguaje conceptual al lenguaje de práctica. Los conceptos SCA se convierten en herramientas de acción diaria, no solo de análisis.</t>
        </is>
      </c>
    </row>
    <row r="11" ht="68" customHeight="1">
      <c r="A11" s="58" t="inlineStr">
        <is>
          <t>2025</t>
        </is>
      </c>
      <c r="B11" s="59" t="inlineStr">
        <is>
          <t>FASE 4
Operativa-
Integrativa</t>
        </is>
      </c>
      <c r="C11" s="60" t="inlineStr">
        <is>
          <t>Fase 1 (sentir) / Fase 2 (dirigir) · Co-creación consciente del despido · Antecedentes depresivos nombrados · Codependencia como espejo materno · Honrar a padre y madre (mandamiento integrado) · Primer llanto permitido · Regreso consciente a la facilitadora · Entender ≠ sentir · La nueva información no se imprime sin sentir el proceso</t>
        </is>
      </c>
      <c r="D11" s="61" t="inlineStr">
        <is>
          <t>«Mi personalidad contaminó la lectura del proceso. Lo interpretaba todo desde la programación, no desde el sentir.» El lenguaje más honesto y más maduro del proceso completo.</t>
        </is>
      </c>
    </row>
    <row r="12" ht="10" customHeight="1"/>
    <row r="13" ht="18" customHeight="1">
      <c r="A13" s="39" t="inlineStr">
        <is>
          <t>LEYENDA DE FASES DE LENGUAJE</t>
        </is>
      </c>
    </row>
    <row r="14" ht="20" customHeight="1">
      <c r="A14" s="62" t="inlineStr">
        <is>
          <t xml:space="preserve"> </t>
        </is>
      </c>
      <c r="B14" s="63" t="inlineStr">
        <is>
          <t>FASE 1 · Pedagógico-Metafórica (2019–2021)</t>
        </is>
      </c>
      <c r="C14" s="64" t="inlineStr">
        <is>
          <t>Entrada al sistema a través de metáforas y herramientas corporales. El lenguaje es coloquial, cercano, accesible.</t>
        </is>
      </c>
    </row>
    <row r="15" ht="20" customHeight="1">
      <c r="A15" s="65" t="inlineStr">
        <is>
          <t xml:space="preserve"> </t>
        </is>
      </c>
      <c r="B15" s="66" t="inlineStr">
        <is>
          <t>FASE 2 · Estructural-Diagnóstica (2022–2023)</t>
        </is>
      </c>
      <c r="C15" s="64" t="inlineStr">
        <is>
          <t>Los conceptos SCA se instalan como sistema. El lenguaje es preciso, técnico, capaz de nombrar el patrón con exactitud.</t>
        </is>
      </c>
    </row>
    <row r="16" ht="20" customHeight="1">
      <c r="A16" s="67" t="inlineStr">
        <is>
          <t xml:space="preserve"> </t>
        </is>
      </c>
      <c r="B16" s="68" t="inlineStr">
        <is>
          <t>FASE 3 · Consolidativa-Aplicada (2024)</t>
        </is>
      </c>
      <c r="C16" s="64" t="inlineStr">
        <is>
          <t>Los conceptos se convierten en prácticas. El lenguaje ya no describe — prescribe y ejecuta.</t>
        </is>
      </c>
    </row>
    <row r="17" ht="20" customHeight="1">
      <c r="A17" s="69" t="inlineStr">
        <is>
          <t xml:space="preserve"> </t>
        </is>
      </c>
      <c r="B17" s="70" t="inlineStr">
        <is>
          <t>FASE 4 · Operativa-Integrativa (2025)</t>
        </is>
      </c>
      <c r="C17" s="64" t="inlineStr">
        <is>
          <t>El lenguaje integra emoción y estructura. El paciente ya no repite los conceptos — los habita.</t>
        </is>
      </c>
    </row>
  </sheetData>
  <mergeCells count="11">
    <mergeCell ref="A1:D1"/>
    <mergeCell ref="B17"/>
    <mergeCell ref="C17:D17"/>
    <mergeCell ref="C16:D16"/>
    <mergeCell ref="C15:D15"/>
    <mergeCell ref="B15"/>
    <mergeCell ref="C14:D14"/>
    <mergeCell ref="B16"/>
    <mergeCell ref="A2:D2"/>
    <mergeCell ref="B14"/>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2026-03-22T22:33:14Z</dcterms:created>
  <dcterms:modified xmlns:dcterms="http://purl.org/dc/terms/" xmlns:xsi="http://www.w3.org/2001/XMLSchema-instance" xsi:type="dcterms:W3CDTF">2026-03-22T22:33:14Z</dcterms:modified>
</cp:coreProperties>
</file>